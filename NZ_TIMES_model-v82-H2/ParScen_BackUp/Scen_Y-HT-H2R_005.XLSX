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2\SuppXLS\"/>
    </mc:Choice>
  </mc:AlternateContent>
  <xr:revisionPtr revIDLastSave="0" documentId="13_ncr:1_{B3F38610-C16F-4F98-B908-4B59948DF111}" xr6:coauthVersionLast="47" xr6:coauthVersionMax="47" xr10:uidLastSave="{00000000-0000-0000-0000-000000000000}"/>
  <bookViews>
    <workbookView xWindow="1950" yWindow="1950" windowWidth="21600" windowHeight="1285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1" l="1"/>
  <c r="M8" i="1" l="1"/>
  <c r="M10" i="1" l="1"/>
  <c r="M9" i="1"/>
  <c r="C3" i="2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<sst xmlns="http://schemas.openxmlformats.org/spreadsheetml/2006/main" count="23" uniqueCount="17">
  <si>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</si>
  <si>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</si>
  <si>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</si>
  <si>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</si>
  <si>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</si>
  <si>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</si>
  <si>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</si>
  <si>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</si>
  <si>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</si>
  <si>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</si>
  <si>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</si>
  <si>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</si>
  <si>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~InputCell: 5</t>
  </si>
  <si>
    <t>INVCOST</t>
  </si>
  <si>
    <t>PSET_PN</t>
  </si>
  <si>
    <t>T_F_H*H2R*</t>
  </si>
  <si>
    <t>~TFM_INS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</si>
</sst>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2" fontId="0" fillId="0" borderId="0" xfId="0" applyNumberFormat="1"/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20" sqref="G20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1.00</v>
      </c>
    </row>
    <row r="4" spans="2:22">
      <c r="B4" s="4">
        <v>2</v>
      </c>
      <c r="C4" s="5" t="str">
        <f>"TOTCO2 reduction multiplier "&amp;TEXT(CO2Price!C7,"0.00")&amp;""</f>
        <v>TOTCO2 reduction multiplier 2.00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3.00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4.00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5.00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6.00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7.00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8.00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9.00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10.00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6"/>
  <sheetViews>
    <sheetView tabSelected="1" workbookViewId="0">
      <selection activeCell="H18" sqref="H18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4" max="14" width="9.140625" style="8"/>
    <col min="16" max="17" width="9.140625" style="8"/>
  </cols>
  <sheetData>
    <row r="1" spans="1:21">
      <c r="A1" t="s">
        <v>12</v>
      </c>
    </row>
    <row r="2" spans="1:21">
      <c r="A2" s="1">
        <v>5</v>
      </c>
    </row>
    <row r="5" spans="1:21">
      <c r="B5" t="s">
        <v>6</v>
      </c>
      <c r="C5" t="s">
        <v>7</v>
      </c>
      <c r="F5" s="9" t="s">
        <v>16</v>
      </c>
      <c r="G5" s="8"/>
      <c r="H5" s="8"/>
      <c r="I5" s="10"/>
      <c r="J5" s="10"/>
      <c r="K5" s="10"/>
      <c r="L5" s="8"/>
      <c r="M5" s="8"/>
      <c r="O5" s="8"/>
      <c r="R5" s="8"/>
      <c r="S5" s="8"/>
      <c r="T5" s="8"/>
    </row>
    <row r="6" spans="1:21" ht="15.75" thickBot="1">
      <c r="B6">
        <v>1</v>
      </c>
      <c r="C6">
        <v>1</v>
      </c>
      <c r="F6" s="11" t="s">
        <v>4</v>
      </c>
      <c r="G6" s="11" t="s">
        <v>5</v>
      </c>
      <c r="H6" s="11" t="s">
        <v>0</v>
      </c>
      <c r="I6" s="13" t="s">
        <v>9</v>
      </c>
      <c r="J6" s="13" t="s">
        <v>14</v>
      </c>
      <c r="K6" s="13" t="s">
        <v>10</v>
      </c>
      <c r="L6" s="12" t="s">
        <v>1</v>
      </c>
      <c r="M6" s="12" t="s">
        <v>11</v>
      </c>
      <c r="N6" s="14"/>
      <c r="O6" s="8">
        <v>5</v>
      </c>
      <c r="P6" s="8">
        <v>4</v>
      </c>
      <c r="Q6" s="8">
        <v>3</v>
      </c>
      <c r="R6" s="8">
        <v>2</v>
      </c>
      <c r="S6" s="8">
        <v>1</v>
      </c>
      <c r="T6" s="8"/>
    </row>
    <row r="7" spans="1:21" ht="15.75" thickBot="1">
      <c r="B7">
        <v>2</v>
      </c>
      <c r="C7" s="8">
        <v>2</v>
      </c>
      <c r="F7" s="8"/>
      <c r="G7" s="8"/>
      <c r="H7" s="8" t="s">
        <v>13</v>
      </c>
      <c r="I7" s="8"/>
      <c r="J7" s="8" t="s">
        <v>15</v>
      </c>
      <c r="K7" s="8"/>
      <c r="L7" s="12">
        <v>2020</v>
      </c>
      <c r="M7" s="8">
        <f>+SUMIF($O$6:$S$6,$A$2,$O7:$S7)/$T$7</f>
        <v>355514</v>
      </c>
      <c r="O7" s="8">
        <v>355514</v>
      </c>
      <c r="P7" s="8">
        <v>420180</v>
      </c>
      <c r="Q7" s="8">
        <v>567151.9</v>
      </c>
      <c r="R7" s="8">
        <v>348472.8</v>
      </c>
      <c r="S7" s="8">
        <v>355514</v>
      </c>
      <c r="T7" s="8">
        <v>1</v>
      </c>
    </row>
    <row r="8" spans="1:21" ht="15.75" thickBot="1">
      <c r="B8">
        <v>3</v>
      </c>
      <c r="C8" s="8">
        <v>3</v>
      </c>
      <c r="F8" s="8"/>
      <c r="G8" s="8"/>
      <c r="H8" s="8" t="s">
        <v>13</v>
      </c>
      <c r="I8" s="8"/>
      <c r="J8" s="8" t="s">
        <v>15</v>
      </c>
      <c r="K8" s="8"/>
      <c r="L8" s="12">
        <v>2030</v>
      </c>
      <c r="M8" s="8">
        <f t="shared" ref="M8:M10" si="0">+SUMIF($O$6:$S$6,$A$2,$O8:$S8)/$T$7</f>
        <v>171157.8</v>
      </c>
      <c r="O8" s="8">
        <v>171157.8</v>
      </c>
      <c r="P8" s="8">
        <v>227970</v>
      </c>
      <c r="Q8" s="8">
        <v>273048.2</v>
      </c>
      <c r="R8" s="8">
        <v>297144.90000000002</v>
      </c>
      <c r="S8" s="8">
        <v>171157.8</v>
      </c>
      <c r="T8" s="8"/>
    </row>
    <row r="9" spans="1:21" ht="15.75" thickBot="1">
      <c r="B9">
        <v>4</v>
      </c>
      <c r="C9" s="8">
        <v>4</v>
      </c>
      <c r="F9" s="8"/>
      <c r="G9" s="8"/>
      <c r="H9" s="8" t="s">
        <v>13</v>
      </c>
      <c r="I9" s="8"/>
      <c r="J9" s="8" t="s">
        <v>15</v>
      </c>
      <c r="K9" s="8"/>
      <c r="L9" s="12">
        <v>2040</v>
      </c>
      <c r="M9" s="8">
        <f t="shared" si="0"/>
        <v>153853.70000000001</v>
      </c>
      <c r="O9" s="8">
        <v>153853.70000000001</v>
      </c>
      <c r="P9" s="8">
        <v>227970</v>
      </c>
      <c r="Q9" s="8">
        <v>267548.7</v>
      </c>
      <c r="R9" s="8">
        <v>297144.90000000002</v>
      </c>
      <c r="S9" s="8">
        <v>171157.8</v>
      </c>
      <c r="T9" s="8"/>
    </row>
    <row r="10" spans="1:21" ht="15.75" thickBot="1">
      <c r="B10">
        <v>5</v>
      </c>
      <c r="C10" s="8">
        <v>5</v>
      </c>
      <c r="F10" s="8"/>
      <c r="G10" s="8"/>
      <c r="H10" s="8" t="s">
        <v>13</v>
      </c>
      <c r="I10" s="8"/>
      <c r="J10" s="8" t="s">
        <v>15</v>
      </c>
      <c r="K10" s="8"/>
      <c r="L10" s="12">
        <v>2050</v>
      </c>
      <c r="M10" s="8">
        <f t="shared" si="0"/>
        <v>149311.4</v>
      </c>
      <c r="O10" s="8">
        <v>149311.4</v>
      </c>
      <c r="P10" s="8">
        <v>227970</v>
      </c>
      <c r="Q10" s="8">
        <v>259649.8</v>
      </c>
      <c r="R10" s="8">
        <v>297144.90000000002</v>
      </c>
      <c r="S10" s="8">
        <v>171157.8</v>
      </c>
      <c r="T10" s="8"/>
    </row>
    <row r="11" spans="1:21" ht="15.75" thickBot="1">
      <c r="B11">
        <v>6</v>
      </c>
      <c r="C11" s="8">
        <v>6</v>
      </c>
      <c r="F11" s="8"/>
      <c r="G11" s="8"/>
      <c r="H11" s="8"/>
      <c r="I11" s="8"/>
      <c r="J11" s="8"/>
      <c r="K11" s="8"/>
      <c r="L11" s="12"/>
      <c r="M11" s="8"/>
      <c r="O11" s="8"/>
      <c r="R11" s="8"/>
      <c r="S11" s="8"/>
      <c r="T11" s="8"/>
    </row>
    <row r="12" spans="1:21" ht="15.75" thickBot="1">
      <c r="B12">
        <v>7</v>
      </c>
      <c r="C12" s="8">
        <v>7</v>
      </c>
      <c r="F12" s="8"/>
      <c r="G12" s="8"/>
      <c r="H12" s="8"/>
      <c r="I12" s="8"/>
      <c r="J12" s="8"/>
      <c r="K12" s="8"/>
      <c r="L12" s="12"/>
      <c r="M12" s="8"/>
      <c r="O12" s="8"/>
      <c r="R12" s="8"/>
      <c r="S12" s="8"/>
      <c r="T12" s="8"/>
      <c r="U12" s="7"/>
    </row>
    <row r="13" spans="1:21">
      <c r="B13">
        <v>8</v>
      </c>
      <c r="C13" s="8">
        <v>8</v>
      </c>
      <c r="F13" s="8"/>
      <c r="G13" s="8"/>
      <c r="H13" s="8"/>
      <c r="I13" s="8"/>
      <c r="J13" s="8"/>
      <c r="K13" s="8"/>
      <c r="L13" s="14"/>
      <c r="M13" s="8"/>
      <c r="O13" s="8"/>
      <c r="R13" s="8"/>
      <c r="S13" s="8"/>
      <c r="T13" s="8"/>
      <c r="U13" s="7"/>
    </row>
    <row r="14" spans="1:21">
      <c r="B14">
        <v>9</v>
      </c>
      <c r="C14" s="8">
        <v>9</v>
      </c>
      <c r="F14" s="7"/>
      <c r="G14" s="7"/>
      <c r="H14" s="7"/>
      <c r="I14" s="7"/>
      <c r="J14" s="6"/>
      <c r="K14" s="7"/>
      <c r="L14" s="7"/>
      <c r="M14" s="7"/>
    </row>
    <row r="15" spans="1:21">
      <c r="B15">
        <v>10</v>
      </c>
      <c r="C15" s="8">
        <v>10</v>
      </c>
      <c r="F15" s="7"/>
      <c r="G15" s="7"/>
      <c r="H15" s="7"/>
      <c r="I15" s="7"/>
      <c r="J15" s="6"/>
      <c r="K15" s="7"/>
      <c r="L15" s="7"/>
      <c r="M15" s="7"/>
    </row>
    <row r="16" spans="1:21">
      <c r="F16" s="7"/>
      <c r="G16" s="7"/>
      <c r="H16" s="7"/>
      <c r="I16" s="7"/>
      <c r="J16" s="6"/>
      <c r="K16" s="7"/>
      <c r="L16" s="7"/>
      <c r="M16" s="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2022-05-19T03:54:39Z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