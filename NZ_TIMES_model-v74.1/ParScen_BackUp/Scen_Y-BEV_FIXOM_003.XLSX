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EDA\VEDA_Models\NZ_TIMES_model-v72.1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<sst xmlns="http://schemas.openxmlformats.org/spreadsheetml/2006/main" count="17" uniqueCount="17">
  <si>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</si>
  <si>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</si>
  <si>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</si>
  <si>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</si>
  <si>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</si>
  <si>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</si>
  <si>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</si>
  <si>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</si>
  <si>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</si>
  <si>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</si>
  <si>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</si>
  <si>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</si>
  <si>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</si>
  <si>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</si>
  <si>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</si>
  <si>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~InputCell: 3,4,5,6,7</t>
  </si>
  <si>
    <t>FIXOM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</si>
</sst>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4" formatCode="_(&quot;$&quot;* #,##0.00_);_(&quot;$&quot;* \(#,##0.00\);_(&quot;$&quot;* &quot;-&quot;??_);_(@_)"/>
    <numFmt numFmtId="164" formatCode="_(* #,##0.00_);_(* \(#,##0.00\);_(* &quot;-&quot;??_);_(@_)"/>
    <numFmt numFmtId="165" formatCode="_-[$€-2]* #,##0.00_-;\-[$€-2]* #,##0.00_-;_-[$€-2]* &quot;-&quot;??_-"/>
    <numFmt numFmtId="166" formatCode="_(&quot;$&quot;* #,##0.00_);_(&quot;$&quot;* \(#,##0.00\);_(&quot;$&quot;* &quot;-&quot;??_);_(@_)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4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6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0" fontId="5" fillId="9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4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165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5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5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5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5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5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5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5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5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5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5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5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5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5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5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5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5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5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5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5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5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5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5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5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5" fontId="75" fillId="0" borderId="0"/>
    <xf numFmtId="165" fontId="33" fillId="0" borderId="0" applyNumberFormat="0" applyFill="0" applyBorder="0" applyAlignment="0" applyProtection="0"/>
    <xf numFmtId="165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5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27" borderId="6" applyNumberFormat="0" applyAlignment="0" applyProtection="0"/>
    <xf numFmtId="0" fontId="16" fillId="27" borderId="6" applyNumberFormat="0" applyAlignment="0" applyProtection="0"/>
    <xf numFmtId="165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4" fontId="5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7" fillId="0" borderId="0"/>
    <xf numFmtId="165" fontId="7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8" fillId="0" borderId="0">
      <alignment horizontal="center"/>
    </xf>
    <xf numFmtId="165" fontId="8" fillId="0" borderId="0">
      <alignment wrapText="1"/>
    </xf>
    <xf numFmtId="165" fontId="73" fillId="0" borderId="0"/>
    <xf numFmtId="165" fontId="68" fillId="0" borderId="0"/>
    <xf numFmtId="165" fontId="68" fillId="0" borderId="0"/>
    <xf numFmtId="165" fontId="68" fillId="0" borderId="0"/>
    <xf numFmtId="165" fontId="68" fillId="0" borderId="0"/>
    <xf numFmtId="165" fontId="80" fillId="0" borderId="0"/>
    <xf numFmtId="166" fontId="66" fillId="0" borderId="0" applyFont="0" applyFill="0" applyBorder="0" applyAlignment="0" applyProtection="0"/>
    <xf numFmtId="166" fontId="5" fillId="0" borderId="0" applyFont="0" applyFill="0" applyBorder="0" applyAlignment="0" applyProtection="0"/>
    <xf numFmtId="4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44" fontId="7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8" fillId="0" borderId="0" applyFont="0" applyFill="0" applyBorder="0" applyAlignment="0" applyProtection="0"/>
    <xf numFmtId="176" fontId="81" fillId="0" borderId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82" fillId="0" borderId="0"/>
    <xf numFmtId="165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5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5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5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5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5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5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5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5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14" borderId="6" applyNumberFormat="0" applyAlignment="0" applyProtection="0"/>
    <xf numFmtId="0" fontId="17" fillId="14" borderId="6" applyNumberFormat="0" applyAlignment="0" applyProtection="0"/>
    <xf numFmtId="165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5" fontId="8" fillId="99" borderId="0">
      <protection locked="0"/>
    </xf>
    <xf numFmtId="165" fontId="8" fillId="99" borderId="0">
      <protection locked="0"/>
    </xf>
    <xf numFmtId="165" fontId="7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73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8" fillId="0" borderId="0"/>
    <xf numFmtId="165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34" fillId="0" borderId="0"/>
    <xf numFmtId="165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165" fontId="81" fillId="101" borderId="13" applyNumberForma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5" fontId="15" fillId="69" borderId="5" applyNumberFormat="0" applyAlignment="0" applyProtection="0"/>
    <xf numFmtId="165" fontId="15" fillId="69" borderId="5" applyNumberFormat="0" applyAlignment="0" applyProtection="0"/>
    <xf numFmtId="165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27" borderId="5" applyNumberFormat="0" applyAlignment="0" applyProtection="0"/>
    <xf numFmtId="0" fontId="15" fillId="27" borderId="5" applyNumberFormat="0" applyAlignment="0" applyProtection="0"/>
    <xf numFmtId="165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5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5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5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67" fillId="102" borderId="0" applyNumberFormat="0" applyFont="0" applyBorder="0" applyAlignment="0" applyProtection="0"/>
    <xf numFmtId="171" fontId="8" fillId="0" borderId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5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32" fillId="0" borderId="0">
      <alignment horizontal="center"/>
    </xf>
    <xf numFmtId="165" fontId="94" fillId="75" borderId="0"/>
    <xf numFmtId="165" fontId="95" fillId="106" borderId="0"/>
    <xf numFmtId="165" fontId="94" fillId="75" borderId="0"/>
    <xf numFmtId="165" fontId="94" fillId="68" borderId="0"/>
    <xf numFmtId="165" fontId="96" fillId="75" borderId="24">
      <alignment horizontal="center" vertical="center"/>
    </xf>
    <xf numFmtId="165" fontId="96" fillId="75" borderId="24">
      <alignment horizontal="center" vertical="center"/>
    </xf>
    <xf numFmtId="165" fontId="96" fillId="75" borderId="24">
      <alignment horizontal="center" vertical="center"/>
    </xf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34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5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4" fontId="34" fillId="0" borderId="0" applyFont="0" applyFill="0" applyBorder="0" applyAlignment="0" applyProtection="0"/>
    <xf numFmtId="0" fontId="34" fillId="0" borderId="0"/>
    <xf numFmtId="0" fontId="34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4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4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4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4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4" fontId="66" fillId="0" borderId="26" applyFont="0" applyAlignment="0">
      <alignment vertical="top" wrapText="1"/>
    </xf>
    <xf numFmtId="0" fontId="12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60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4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4" fontId="48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4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4" fontId="12" fillId="0" borderId="0" applyFont="0" applyFill="0" applyBorder="0" applyAlignment="0" applyProtection="0"/>
    <xf numFmtId="164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1.50</v>
      </c>
    </row>
    <row r="4" spans="2:22">
      <c r="B4" s="4">
        <v>2</v>
      </c>
      <c r="C4" s="5" t="str">
        <f>"TOTCO2 reduction multiplier "&amp;TEXT(CO2Price!C7,"0.00")&amp;""</f>
        <v>TOTCO2 reduction multiplier 1.70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1.80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2.00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2.20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2.40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2.50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2.70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2.80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3.00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C16" sqref="C16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15</v>
      </c>
    </row>
    <row r="2" spans="1:20">
      <c r="A2" s="1">
        <v>3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1.5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1.7</v>
      </c>
      <c r="F7" s="7"/>
      <c r="G7" s="7"/>
      <c r="H7" s="7" t="s">
        <v>16</v>
      </c>
      <c r="I7" s="7"/>
      <c r="J7" s="7" t="s">
        <v>14</v>
      </c>
      <c r="K7" s="7"/>
      <c r="L7" s="11"/>
      <c r="M7" s="14" t="str">
        <f>"*"&amp;SUMIF(B6:B15,A2,C6:C15)</f>
        <v>*1.8</v>
      </c>
      <c r="O7" s="7"/>
      <c r="R7" s="7"/>
      <c r="S7" s="7"/>
      <c r="T7" s="7"/>
    </row>
    <row r="8" spans="1:20">
      <c r="B8">
        <v>3</v>
      </c>
      <c r="C8" s="7">
        <v>1.8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2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2.2000000000000002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2.4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2.5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2.7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2.8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3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Chiraag Ishwar</cp:lastModifiedBy>
  <dcterms:created xsi:type="dcterms:W3CDTF">2018-05-20T12:37:17Z</dcterms:created>
  <dcterms:modified xsi:type="dcterms:W3CDTF">2021-03-15T01:51:49Z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895336329936981</vt:r8>
  </property>
</Properties>
</file>